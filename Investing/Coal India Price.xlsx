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EMESTER6\Investing\"/>
    </mc:Choice>
  </mc:AlternateContent>
  <xr:revisionPtr revIDLastSave="0" documentId="13_ncr:1_{E422F500-2019-41C2-8690-A52D2C12B63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  <c r="C18" i="2"/>
  <c r="C19" i="2"/>
  <c r="C20" i="2"/>
  <c r="C21" i="2"/>
  <c r="C22" i="2"/>
  <c r="C23" i="2"/>
  <c r="C24" i="2"/>
  <c r="C25" i="2"/>
  <c r="C17" i="2"/>
  <c r="D4" i="2"/>
  <c r="D5" i="2"/>
  <c r="D6" i="2"/>
  <c r="D7" i="2"/>
  <c r="D8" i="2"/>
  <c r="D9" i="2"/>
  <c r="D10" i="2"/>
  <c r="D11" i="2"/>
  <c r="D3" i="2"/>
  <c r="E7" i="1"/>
  <c r="E8" i="1"/>
  <c r="E9" i="1"/>
  <c r="E10" i="1"/>
  <c r="E11" i="1"/>
  <c r="E12" i="1"/>
  <c r="E13" i="1"/>
  <c r="E14" i="1"/>
  <c r="E6" i="1"/>
  <c r="F6" i="1"/>
  <c r="F7" i="1"/>
  <c r="F8" i="1"/>
  <c r="F9" i="1"/>
  <c r="F10" i="1"/>
  <c r="F11" i="1"/>
  <c r="F12" i="1"/>
  <c r="F13" i="1"/>
  <c r="F14" i="1"/>
  <c r="F5" i="1"/>
  <c r="G14" i="1" s="1"/>
  <c r="E17" i="1" l="1"/>
</calcChain>
</file>

<file path=xl/sharedStrings.xml><?xml version="1.0" encoding="utf-8"?>
<sst xmlns="http://schemas.openxmlformats.org/spreadsheetml/2006/main" count="18" uniqueCount="17">
  <si>
    <t>Year,</t>
  </si>
  <si>
    <t>Closing Price (₹),</t>
  </si>
  <si>
    <t>Dividend per Share (₹)</t>
  </si>
  <si>
    <t>Return</t>
  </si>
  <si>
    <t>NA</t>
  </si>
  <si>
    <t>CAGR</t>
  </si>
  <si>
    <t>Final Close Price(Rs)</t>
  </si>
  <si>
    <t>BPCL</t>
  </si>
  <si>
    <t xml:space="preserve">Year </t>
  </si>
  <si>
    <t>BPCL(Closing Price)</t>
  </si>
  <si>
    <t>SBI(Closing Price)</t>
  </si>
  <si>
    <t>BPCL Dividend(per share)</t>
  </si>
  <si>
    <t>SBI Dividend(per share)</t>
  </si>
  <si>
    <t>return</t>
  </si>
  <si>
    <t>return(Holding period return)</t>
  </si>
  <si>
    <t>Final closing return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</si>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</sst>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7"/>
  <sheetViews>
    <sheetView topLeftCell="F1" zoomScale="79" workbookViewId="0">
      <selection activeCell="K4" sqref="K4:O14"/>
    </sheetView>
  </sheetViews>
  <sheetFormatPr defaultRowHeight="14.5" x14ac:dyDescent="0.35"/>
  <cols>
    <col min="4" max="4" width="10.6328125" customWidth="1"/>
    <col min="6" max="6" width="11.1796875" customWidth="1"/>
    <col min="12" max="12" width="16.54296875" bestFit="1" customWidth="1"/>
    <col min="13" max="13" width="22.08984375" bestFit="1" customWidth="1"/>
    <col min="14" max="14" width="15.08984375" bestFit="1" customWidth="1"/>
    <col min="15" max="15" width="20.54296875" bestFit="1" customWidth="1"/>
  </cols>
  <sheetData>
    <row r="3" spans="2:7" x14ac:dyDescent="0.35">
      <c r="D3" t="s">
        <v>7</v>
      </c>
    </row>
    <row r="4" spans="2:7" ht="43.5" x14ac:dyDescent="0.35">
      <c r="B4" s="2" t="s">
        <v>0</v>
      </c>
      <c r="C4" s="2" t="s">
        <v>1</v>
      </c>
      <c r="D4" s="3" t="s">
        <v>2</v>
      </c>
      <c r="E4" s="2" t="s">
        <v>3</v>
      </c>
      <c r="F4" s="3" t="s">
        <v>6</v>
      </c>
      <c r="G4" s="2" t="s">
        <v>5</v>
      </c>
    </row>
    <row r="5" spans="2:7" x14ac:dyDescent="0.35">
      <c r="B5" s="1">
        <v>2024</v>
      </c>
      <c r="C5" s="1">
        <v>425</v>
      </c>
      <c r="D5" s="1">
        <v>26</v>
      </c>
      <c r="E5" t="s">
        <v>4</v>
      </c>
      <c r="F5">
        <f>C5+D5</f>
        <v>451</v>
      </c>
    </row>
    <row r="6" spans="2:7" x14ac:dyDescent="0.35">
      <c r="B6" s="1">
        <v>2023</v>
      </c>
      <c r="C6" s="1">
        <v>270</v>
      </c>
      <c r="D6" s="1">
        <v>24.5</v>
      </c>
      <c r="E6">
        <f>((D6+(C5-C6))/C6)*100</f>
        <v>66.481481481481481</v>
      </c>
      <c r="F6">
        <f t="shared" ref="F6:F14" si="0">C6+D6</f>
        <v>294.5</v>
      </c>
    </row>
    <row r="7" spans="2:7" x14ac:dyDescent="0.35">
      <c r="B7" s="1">
        <v>2022</v>
      </c>
      <c r="C7" s="1">
        <v>220</v>
      </c>
      <c r="D7" s="1">
        <v>17</v>
      </c>
      <c r="E7">
        <f t="shared" ref="E7:E14" si="1">((D7+(C6-C7))/C7)*100</f>
        <v>30.454545454545457</v>
      </c>
      <c r="F7">
        <f t="shared" si="0"/>
        <v>237</v>
      </c>
    </row>
    <row r="8" spans="2:7" x14ac:dyDescent="0.35">
      <c r="B8" s="1">
        <v>2021</v>
      </c>
      <c r="C8" s="1">
        <v>160</v>
      </c>
      <c r="D8" s="1">
        <v>16</v>
      </c>
      <c r="E8">
        <f t="shared" si="1"/>
        <v>47.5</v>
      </c>
      <c r="F8">
        <f t="shared" si="0"/>
        <v>176</v>
      </c>
    </row>
    <row r="9" spans="2:7" x14ac:dyDescent="0.35">
      <c r="B9" s="1">
        <v>2020</v>
      </c>
      <c r="C9" s="1">
        <v>135</v>
      </c>
      <c r="D9" s="1">
        <v>12</v>
      </c>
      <c r="E9">
        <f t="shared" si="1"/>
        <v>27.407407407407408</v>
      </c>
      <c r="F9">
        <f t="shared" si="0"/>
        <v>147</v>
      </c>
    </row>
    <row r="10" spans="2:7" x14ac:dyDescent="0.35">
      <c r="B10" s="1">
        <v>2019</v>
      </c>
      <c r="C10" s="1">
        <v>210</v>
      </c>
      <c r="D10" s="1">
        <v>13.1</v>
      </c>
      <c r="E10">
        <f t="shared" si="1"/>
        <v>-29.476190476190478</v>
      </c>
      <c r="F10">
        <f t="shared" si="0"/>
        <v>223.1</v>
      </c>
    </row>
    <row r="11" spans="2:7" x14ac:dyDescent="0.35">
      <c r="B11" s="1">
        <v>2018</v>
      </c>
      <c r="C11" s="1">
        <v>240</v>
      </c>
      <c r="D11" s="1">
        <v>16.5</v>
      </c>
      <c r="E11">
        <f t="shared" si="1"/>
        <v>-5.625</v>
      </c>
      <c r="F11">
        <f t="shared" si="0"/>
        <v>256.5</v>
      </c>
    </row>
    <row r="12" spans="2:7" x14ac:dyDescent="0.35">
      <c r="B12" s="1">
        <v>2017</v>
      </c>
      <c r="C12" s="1">
        <v>270</v>
      </c>
      <c r="D12" s="1">
        <v>19.899999999999999</v>
      </c>
      <c r="E12">
        <f t="shared" si="1"/>
        <v>-3.7407407407407409</v>
      </c>
      <c r="F12">
        <f t="shared" si="0"/>
        <v>289.89999999999998</v>
      </c>
    </row>
    <row r="13" spans="2:7" x14ac:dyDescent="0.35">
      <c r="B13" s="1">
        <v>2016</v>
      </c>
      <c r="C13" s="1">
        <v>290</v>
      </c>
      <c r="D13" s="1">
        <v>27.4</v>
      </c>
      <c r="E13">
        <f t="shared" si="1"/>
        <v>2.5517241379310338</v>
      </c>
      <c r="F13">
        <f t="shared" si="0"/>
        <v>317.39999999999998</v>
      </c>
    </row>
    <row r="14" spans="2:7" x14ac:dyDescent="0.35">
      <c r="B14" s="1">
        <v>2015</v>
      </c>
      <c r="C14" s="1">
        <v>330</v>
      </c>
      <c r="D14" s="1">
        <v>19.399999999999999</v>
      </c>
      <c r="E14">
        <f t="shared" si="1"/>
        <v>-6.2424242424242431</v>
      </c>
      <c r="F14">
        <f t="shared" si="0"/>
        <v>349.4</v>
      </c>
      <c r="G14">
        <f>-(((F5/F14)^1/10) -1)</f>
        <v>0.87092157985117336</v>
      </c>
    </row>
    <row r="17" spans="5:5" x14ac:dyDescent="0.35">
      <c r="E17">
        <f>AVERAGE(E6:E14)</f>
        <v>14.367867002445548</v>
      </c>
    </row>
  </sheetData>
  <sortState xmlns:xlrd2="http://schemas.microsoft.com/office/spreadsheetml/2017/richdata2" ref="B5:D14">
    <sortCondition descending="1" ref="B5:B14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619A-7A9B-4729-A8CB-2AB7F242CB99}">
  <dimension ref="A1:O25"/>
  <sheetViews>
    <sheetView tabSelected="1" topLeftCell="A43" zoomScale="87" zoomScaleNormal="115" workbookViewId="0">
      <selection activeCell="O13" sqref="O13"/>
    </sheetView>
  </sheetViews>
  <sheetFormatPr defaultRowHeight="14.5" x14ac:dyDescent="0.35"/>
  <cols>
    <col min="3" max="3" width="16.54296875" bestFit="1" customWidth="1"/>
    <col min="4" max="5" width="16.54296875" customWidth="1"/>
    <col min="6" max="6" width="15.26953125" customWidth="1"/>
    <col min="7" max="7" width="19.36328125" customWidth="1"/>
    <col min="8" max="8" width="20.54296875" bestFit="1" customWidth="1"/>
  </cols>
  <sheetData>
    <row r="1" spans="1:15" x14ac:dyDescent="0.35">
      <c r="A1" s="2" t="s">
        <v>8</v>
      </c>
      <c r="B1" s="2" t="s">
        <v>9</v>
      </c>
      <c r="C1" s="2" t="s">
        <v>11</v>
      </c>
      <c r="D1" s="2" t="s">
        <v>14</v>
      </c>
      <c r="E1" s="2" t="s">
        <v>15</v>
      </c>
      <c r="F1" s="2" t="s">
        <v>5</v>
      </c>
    </row>
    <row r="2" spans="1:15" x14ac:dyDescent="0.35">
      <c r="A2">
        <v>2016</v>
      </c>
      <c r="B2">
        <v>430</v>
      </c>
      <c r="C2">
        <v>10</v>
      </c>
      <c r="E2">
        <f>(B2+C2)</f>
        <v>440</v>
      </c>
    </row>
    <row r="3" spans="1:15" x14ac:dyDescent="0.35">
      <c r="A3">
        <v>2017</v>
      </c>
      <c r="B3">
        <v>650</v>
      </c>
      <c r="C3">
        <v>12</v>
      </c>
      <c r="D3">
        <f>(((B3-B2)+C3)/B2)*100</f>
        <v>53.953488372093027</v>
      </c>
      <c r="E3">
        <f t="shared" ref="E3:E11" si="0">(B3+C3)</f>
        <v>662</v>
      </c>
    </row>
    <row r="4" spans="1:15" x14ac:dyDescent="0.35">
      <c r="A4">
        <v>2018</v>
      </c>
      <c r="B4">
        <v>380</v>
      </c>
      <c r="C4">
        <v>14</v>
      </c>
      <c r="D4">
        <f t="shared" ref="D4:D11" si="1">(((B4-B3)+C4)/B3)*100</f>
        <v>-39.384615384615387</v>
      </c>
      <c r="E4">
        <f t="shared" si="0"/>
        <v>394</v>
      </c>
    </row>
    <row r="5" spans="1:15" x14ac:dyDescent="0.35">
      <c r="A5">
        <v>2019</v>
      </c>
      <c r="B5">
        <v>490</v>
      </c>
      <c r="C5">
        <v>17</v>
      </c>
      <c r="D5">
        <f t="shared" si="1"/>
        <v>33.421052631578945</v>
      </c>
      <c r="E5">
        <f t="shared" si="0"/>
        <v>507</v>
      </c>
    </row>
    <row r="6" spans="1:15" x14ac:dyDescent="0.35">
      <c r="A6">
        <v>2020</v>
      </c>
      <c r="B6">
        <v>300</v>
      </c>
      <c r="C6">
        <v>16</v>
      </c>
      <c r="D6">
        <f t="shared" si="1"/>
        <v>-35.510204081632651</v>
      </c>
      <c r="E6">
        <f t="shared" si="0"/>
        <v>316</v>
      </c>
    </row>
    <row r="7" spans="1:15" x14ac:dyDescent="0.35">
      <c r="A7">
        <v>2021</v>
      </c>
      <c r="B7">
        <v>420</v>
      </c>
      <c r="C7">
        <v>14</v>
      </c>
      <c r="D7">
        <f t="shared" si="1"/>
        <v>44.666666666666664</v>
      </c>
      <c r="E7">
        <f t="shared" si="0"/>
        <v>434</v>
      </c>
    </row>
    <row r="8" spans="1:15" x14ac:dyDescent="0.35">
      <c r="A8">
        <v>2022</v>
      </c>
      <c r="B8">
        <v>370</v>
      </c>
      <c r="C8">
        <v>5.5</v>
      </c>
      <c r="D8">
        <f t="shared" si="1"/>
        <v>-10.595238095238095</v>
      </c>
      <c r="E8">
        <f t="shared" si="0"/>
        <v>375.5</v>
      </c>
    </row>
    <row r="9" spans="1:15" x14ac:dyDescent="0.35">
      <c r="A9">
        <v>2023</v>
      </c>
      <c r="B9">
        <v>390</v>
      </c>
      <c r="C9">
        <v>25</v>
      </c>
      <c r="D9">
        <f t="shared" si="1"/>
        <v>12.162162162162163</v>
      </c>
      <c r="E9">
        <f t="shared" si="0"/>
        <v>415</v>
      </c>
    </row>
    <row r="10" spans="1:15" x14ac:dyDescent="0.35">
      <c r="A10">
        <v>2024</v>
      </c>
      <c r="B10">
        <v>360</v>
      </c>
      <c r="C10">
        <v>10.5</v>
      </c>
      <c r="D10">
        <f t="shared" si="1"/>
        <v>-5</v>
      </c>
      <c r="E10">
        <f t="shared" si="0"/>
        <v>370.5</v>
      </c>
    </row>
    <row r="11" spans="1:15" x14ac:dyDescent="0.35">
      <c r="A11">
        <v>2025</v>
      </c>
      <c r="B11">
        <v>354</v>
      </c>
      <c r="C11">
        <v>17.5</v>
      </c>
      <c r="D11">
        <f t="shared" si="1"/>
        <v>3.1944444444444442</v>
      </c>
      <c r="E11">
        <f t="shared" si="0"/>
        <v>371.5</v>
      </c>
    </row>
    <row r="13" spans="1:15" x14ac:dyDescent="0.35">
      <c r="O13" t="s">
        <v>16</v>
      </c>
    </row>
    <row r="15" spans="1:15" x14ac:dyDescent="0.35">
      <c r="A15" s="2" t="s">
        <v>10</v>
      </c>
      <c r="B15" s="2" t="s">
        <v>12</v>
      </c>
      <c r="C15" s="2" t="s">
        <v>13</v>
      </c>
    </row>
    <row r="16" spans="1:15" x14ac:dyDescent="0.35">
      <c r="A16">
        <v>230</v>
      </c>
      <c r="B16">
        <v>2.6</v>
      </c>
    </row>
    <row r="17" spans="1:3" x14ac:dyDescent="0.35">
      <c r="A17">
        <v>250</v>
      </c>
      <c r="B17">
        <v>2.6</v>
      </c>
      <c r="C17">
        <f>(((A17-A16)+B17)/A16)*100</f>
        <v>9.8260869565217401</v>
      </c>
    </row>
    <row r="18" spans="1:3" x14ac:dyDescent="0.35">
      <c r="A18">
        <v>280</v>
      </c>
      <c r="B18">
        <v>3</v>
      </c>
      <c r="C18">
        <f t="shared" ref="C18:C25" si="2">(((A18-A17)+B18)/A17)*100</f>
        <v>13.200000000000001</v>
      </c>
    </row>
    <row r="19" spans="1:3" x14ac:dyDescent="0.35">
      <c r="A19">
        <v>320</v>
      </c>
      <c r="B19">
        <v>5</v>
      </c>
      <c r="C19">
        <f t="shared" si="2"/>
        <v>16.071428571428573</v>
      </c>
    </row>
    <row r="20" spans="1:3" x14ac:dyDescent="0.35">
      <c r="A20">
        <v>190</v>
      </c>
      <c r="B20">
        <v>6</v>
      </c>
      <c r="C20">
        <f t="shared" si="2"/>
        <v>-38.75</v>
      </c>
    </row>
    <row r="21" spans="1:3" x14ac:dyDescent="0.35">
      <c r="A21">
        <v>280</v>
      </c>
      <c r="B21">
        <v>4</v>
      </c>
      <c r="C21">
        <f t="shared" si="2"/>
        <v>49.473684210526315</v>
      </c>
    </row>
    <row r="22" spans="1:3" x14ac:dyDescent="0.35">
      <c r="A22">
        <v>500</v>
      </c>
      <c r="B22">
        <v>7.1</v>
      </c>
      <c r="C22">
        <f t="shared" si="2"/>
        <v>81.107142857142861</v>
      </c>
    </row>
    <row r="23" spans="1:3" x14ac:dyDescent="0.35">
      <c r="A23">
        <v>600</v>
      </c>
      <c r="B23">
        <v>11.3</v>
      </c>
      <c r="C23">
        <f t="shared" si="2"/>
        <v>22.259999999999998</v>
      </c>
    </row>
    <row r="24" spans="1:3" x14ac:dyDescent="0.35">
      <c r="A24">
        <v>720</v>
      </c>
      <c r="B24">
        <v>13.7</v>
      </c>
      <c r="C24">
        <f t="shared" si="2"/>
        <v>22.283333333333331</v>
      </c>
    </row>
    <row r="25" spans="1:3" x14ac:dyDescent="0.35">
      <c r="A25">
        <v>780</v>
      </c>
      <c r="B25">
        <v>15.9</v>
      </c>
      <c r="C25">
        <f t="shared" si="2"/>
        <v>10.541666666666668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Kulshrestha</dc:creator>
  <cp:lastModifiedBy>kalpana baghel</cp:lastModifiedBy>
  <dcterms:created xsi:type="dcterms:W3CDTF">2015-06-05T18:17:20Z</dcterms:created>
  <dcterms:modified xsi:type="dcterms:W3CDTF">2026-01-12T08:41:38Z</dcterms:modified>
</cp:coreProperties>
</file>