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EMESTER6\Investing\"/>
    </mc:Choice>
  </mc:AlternateContent>
  <xr:revisionPtr revIDLastSave="0" documentId="13_ncr:1_{F7B2D672-8DC8-48F2-BB4C-90C0A27F0DB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2" l="1"/>
  <c r="F54" i="2"/>
  <c r="F13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21" i="2"/>
  <c r="N5" i="2"/>
  <c r="N6" i="2"/>
  <c r="N7" i="2"/>
  <c r="N8" i="2"/>
  <c r="N9" i="2"/>
  <c r="N10" i="2"/>
  <c r="N11" i="2"/>
  <c r="N12" i="2"/>
  <c r="N13" i="2"/>
  <c r="N4" i="2"/>
  <c r="E5" i="2"/>
  <c r="E6" i="2"/>
  <c r="E7" i="2"/>
  <c r="E8" i="2"/>
  <c r="E9" i="2"/>
  <c r="E10" i="2"/>
  <c r="E11" i="2"/>
  <c r="E12" i="2"/>
  <c r="E13" i="2"/>
  <c r="E4" i="2"/>
  <c r="F11" i="1"/>
  <c r="M6" i="2"/>
  <c r="M7" i="2"/>
  <c r="M8" i="2"/>
  <c r="M9" i="2"/>
  <c r="M10" i="2"/>
  <c r="M11" i="2"/>
  <c r="M12" i="2"/>
  <c r="M13" i="2"/>
  <c r="M5" i="2"/>
  <c r="D6" i="2"/>
  <c r="D7" i="2"/>
  <c r="D8" i="2"/>
  <c r="D9" i="2"/>
  <c r="D10" i="2"/>
  <c r="D11" i="2"/>
  <c r="D12" i="2"/>
  <c r="D13" i="2"/>
  <c r="D5" i="2"/>
  <c r="D3" i="1"/>
  <c r="D4" i="1"/>
  <c r="D5" i="1"/>
  <c r="D6" i="1"/>
  <c r="D7" i="1"/>
  <c r="D8" i="1"/>
  <c r="D9" i="1"/>
  <c r="D10" i="1"/>
  <c r="D11" i="1"/>
  <c r="D14" i="1"/>
  <c r="E3" i="1"/>
  <c r="E4" i="1"/>
  <c r="E5" i="1"/>
  <c r="E6" i="1"/>
  <c r="E7" i="1"/>
  <c r="E8" i="1"/>
  <c r="E9" i="1"/>
  <c r="E10" i="1"/>
  <c r="E11" i="1"/>
  <c r="E2" i="1"/>
  <c r="O13" i="2" l="1"/>
  <c r="G13" i="2"/>
  <c r="P13" i="2"/>
</calcChain>
</file>

<file path=xl/sharedStrings.xml><?xml version="1.0" encoding="utf-8"?>
<sst xmlns="http://schemas.openxmlformats.org/spreadsheetml/2006/main" count="40" uniqueCount="15">
  <si>
    <t>Closing Price (₹),</t>
  </si>
  <si>
    <t>Dividend per Share (₹)</t>
  </si>
  <si>
    <t>Return</t>
  </si>
  <si>
    <t>NA</t>
  </si>
  <si>
    <t>CAGR</t>
  </si>
  <si>
    <t>Final Close Price(Rs)</t>
  </si>
  <si>
    <t>Year</t>
  </si>
  <si>
    <t>BPCL</t>
  </si>
  <si>
    <t>SBI</t>
  </si>
  <si>
    <t xml:space="preserve">Folding period return </t>
  </si>
  <si>
    <t>on return</t>
  </si>
  <si>
    <t xml:space="preserve">on return </t>
  </si>
  <si>
    <t xml:space="preserve">last three year monthly basis return and CGAR of SBI and BPCL </t>
  </si>
  <si>
    <t>Months</t>
  </si>
  <si>
    <t>Average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</si>
</sst>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E2" sqref="E2:E11"/>
    </sheetView>
  </sheetViews>
  <sheetFormatPr defaultRowHeight="14.5" x14ac:dyDescent="0.35"/>
  <cols>
    <col min="1" max="1" width="5" bestFit="1" customWidth="1"/>
    <col min="2" max="2" width="16" bestFit="1" customWidth="1"/>
    <col min="3" max="3" width="12.453125" bestFit="1" customWidth="1"/>
    <col min="4" max="4" width="12.7265625" bestFit="1" customWidth="1"/>
    <col min="5" max="5" width="13.54296875" customWidth="1"/>
    <col min="6" max="6" width="11" bestFit="1" customWidth="1"/>
  </cols>
  <sheetData>
    <row r="1" spans="1:6" ht="29" x14ac:dyDescent="0.35">
      <c r="A1" s="2" t="s">
        <v>6</v>
      </c>
      <c r="B1" s="2" t="s">
        <v>0</v>
      </c>
      <c r="C1" s="3" t="s">
        <v>1</v>
      </c>
      <c r="D1" s="2" t="s">
        <v>2</v>
      </c>
      <c r="E1" s="3" t="s">
        <v>5</v>
      </c>
      <c r="F1" s="2" t="s">
        <v>4</v>
      </c>
    </row>
    <row r="2" spans="1:6" x14ac:dyDescent="0.35">
      <c r="A2" s="1">
        <v>2024</v>
      </c>
      <c r="B2" s="1">
        <v>425</v>
      </c>
      <c r="C2" s="1">
        <v>26</v>
      </c>
      <c r="D2" t="s">
        <v>3</v>
      </c>
      <c r="E2">
        <f>B2+C2</f>
        <v>451</v>
      </c>
    </row>
    <row r="3" spans="1:6" x14ac:dyDescent="0.35">
      <c r="A3" s="1">
        <v>2023</v>
      </c>
      <c r="B3" s="1">
        <v>270</v>
      </c>
      <c r="C3" s="1">
        <v>24.5</v>
      </c>
      <c r="D3">
        <f>((C3+(B2-B3))/B3)*100</f>
        <v>66.481481481481481</v>
      </c>
      <c r="E3">
        <f t="shared" ref="E3:E11" si="0">B3+C3</f>
        <v>294.5</v>
      </c>
    </row>
    <row r="4" spans="1:6" x14ac:dyDescent="0.35">
      <c r="A4" s="1">
        <v>2022</v>
      </c>
      <c r="B4" s="1">
        <v>220</v>
      </c>
      <c r="C4" s="1">
        <v>17</v>
      </c>
      <c r="D4">
        <f t="shared" ref="D4:D11" si="1">((C4+(B3-B4))/B4)*100</f>
        <v>30.454545454545457</v>
      </c>
      <c r="E4">
        <f t="shared" si="0"/>
        <v>237</v>
      </c>
    </row>
    <row r="5" spans="1:6" x14ac:dyDescent="0.35">
      <c r="A5" s="1">
        <v>2021</v>
      </c>
      <c r="B5" s="1">
        <v>160</v>
      </c>
      <c r="C5" s="1">
        <v>16</v>
      </c>
      <c r="D5">
        <f t="shared" si="1"/>
        <v>47.5</v>
      </c>
      <c r="E5">
        <f t="shared" si="0"/>
        <v>176</v>
      </c>
    </row>
    <row r="6" spans="1:6" x14ac:dyDescent="0.35">
      <c r="A6" s="1">
        <v>2020</v>
      </c>
      <c r="B6" s="1">
        <v>135</v>
      </c>
      <c r="C6" s="1">
        <v>12</v>
      </c>
      <c r="D6">
        <f t="shared" si="1"/>
        <v>27.407407407407408</v>
      </c>
      <c r="E6">
        <f t="shared" si="0"/>
        <v>147</v>
      </c>
    </row>
    <row r="7" spans="1:6" x14ac:dyDescent="0.35">
      <c r="A7" s="1">
        <v>2019</v>
      </c>
      <c r="B7" s="1">
        <v>210</v>
      </c>
      <c r="C7" s="1">
        <v>13.1</v>
      </c>
      <c r="D7">
        <f t="shared" si="1"/>
        <v>-29.476190476190478</v>
      </c>
      <c r="E7">
        <f t="shared" si="0"/>
        <v>223.1</v>
      </c>
    </row>
    <row r="8" spans="1:6" x14ac:dyDescent="0.35">
      <c r="A8" s="1">
        <v>2018</v>
      </c>
      <c r="B8" s="1">
        <v>240</v>
      </c>
      <c r="C8" s="1">
        <v>16.5</v>
      </c>
      <c r="D8">
        <f t="shared" si="1"/>
        <v>-5.625</v>
      </c>
      <c r="E8">
        <f t="shared" si="0"/>
        <v>256.5</v>
      </c>
    </row>
    <row r="9" spans="1:6" x14ac:dyDescent="0.35">
      <c r="A9" s="1">
        <v>2017</v>
      </c>
      <c r="B9" s="1">
        <v>270</v>
      </c>
      <c r="C9" s="1">
        <v>19.899999999999999</v>
      </c>
      <c r="D9">
        <f t="shared" si="1"/>
        <v>-3.7407407407407409</v>
      </c>
      <c r="E9">
        <f t="shared" si="0"/>
        <v>289.89999999999998</v>
      </c>
    </row>
    <row r="10" spans="1:6" x14ac:dyDescent="0.35">
      <c r="A10" s="1">
        <v>2016</v>
      </c>
      <c r="B10" s="1">
        <v>290</v>
      </c>
      <c r="C10" s="1">
        <v>27.4</v>
      </c>
      <c r="D10">
        <f t="shared" si="1"/>
        <v>2.5517241379310338</v>
      </c>
      <c r="E10">
        <f t="shared" si="0"/>
        <v>317.39999999999998</v>
      </c>
    </row>
    <row r="11" spans="1:6" x14ac:dyDescent="0.35">
      <c r="A11" s="1">
        <v>2015</v>
      </c>
      <c r="B11" s="1">
        <v>330</v>
      </c>
      <c r="C11" s="1">
        <v>19.399999999999999</v>
      </c>
      <c r="D11">
        <f t="shared" si="1"/>
        <v>-6.2424242424242431</v>
      </c>
      <c r="E11">
        <f t="shared" si="0"/>
        <v>349.4</v>
      </c>
      <c r="F11">
        <f>-(((E2/E11)^1/10) -1)</f>
        <v>0.87092157985117336</v>
      </c>
    </row>
    <row r="14" spans="1:6" x14ac:dyDescent="0.35">
      <c r="D14">
        <f>AVERAGE(D3:D11)</f>
        <v>14.367867002445548</v>
      </c>
    </row>
  </sheetData>
  <sortState xmlns:xlrd2="http://schemas.microsoft.com/office/spreadsheetml/2017/richdata2" ref="A2:C11">
    <sortCondition descending="1" ref="A2:A1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F6EC-D893-4172-9D08-603C06E70EF9}">
  <dimension ref="A1:P54"/>
  <sheetViews>
    <sheetView tabSelected="1" zoomScale="25" zoomScaleNormal="100" workbookViewId="0">
      <selection activeCell="H25" sqref="H25"/>
    </sheetView>
  </sheetViews>
  <sheetFormatPr defaultRowHeight="14.5" x14ac:dyDescent="0.35"/>
  <cols>
    <col min="1" max="1" width="12.36328125" bestFit="1" customWidth="1"/>
    <col min="2" max="2" width="8.81640625" bestFit="1" customWidth="1"/>
    <col min="3" max="3" width="13.1796875" customWidth="1"/>
    <col min="4" max="4" width="14.54296875" bestFit="1" customWidth="1"/>
    <col min="5" max="5" width="12.7265625" customWidth="1"/>
    <col min="6" max="6" width="10.54296875" customWidth="1"/>
    <col min="7" max="7" width="8.81640625" bestFit="1" customWidth="1"/>
    <col min="8" max="8" width="9.1796875" customWidth="1"/>
    <col min="10" max="10" width="12.36328125" bestFit="1" customWidth="1"/>
    <col min="11" max="11" width="8.81640625" bestFit="1" customWidth="1"/>
    <col min="12" max="12" width="12.1796875" customWidth="1"/>
    <col min="13" max="13" width="8.81640625" bestFit="1" customWidth="1"/>
    <col min="14" max="14" width="12.7265625" customWidth="1"/>
  </cols>
  <sheetData>
    <row r="1" spans="1:16" ht="43.5" x14ac:dyDescent="0.35">
      <c r="H1" s="4" t="s">
        <v>9</v>
      </c>
    </row>
    <row r="2" spans="1:16" s="2" customFormat="1" x14ac:dyDescent="0.35">
      <c r="C2" s="2" t="s">
        <v>7</v>
      </c>
      <c r="L2" s="2" t="s">
        <v>8</v>
      </c>
    </row>
    <row r="3" spans="1:16" ht="29" x14ac:dyDescent="0.35">
      <c r="A3" s="2" t="s">
        <v>6</v>
      </c>
      <c r="B3" s="2" t="s">
        <v>0</v>
      </c>
      <c r="C3" s="3" t="s">
        <v>1</v>
      </c>
      <c r="D3" s="2" t="s">
        <v>2</v>
      </c>
      <c r="E3" s="3" t="s">
        <v>5</v>
      </c>
      <c r="F3" s="2" t="s">
        <v>4</v>
      </c>
      <c r="J3" s="2" t="s">
        <v>6</v>
      </c>
      <c r="K3" s="2" t="s">
        <v>0</v>
      </c>
      <c r="L3" s="3" t="s">
        <v>1</v>
      </c>
      <c r="M3" s="2" t="s">
        <v>2</v>
      </c>
      <c r="N3" s="3" t="s">
        <v>5</v>
      </c>
      <c r="O3" s="2" t="s">
        <v>4</v>
      </c>
    </row>
    <row r="4" spans="1:16" x14ac:dyDescent="0.35">
      <c r="A4" s="4">
        <v>2015</v>
      </c>
      <c r="B4" s="4">
        <v>430</v>
      </c>
      <c r="C4" s="4">
        <v>18</v>
      </c>
      <c r="D4">
        <v>0</v>
      </c>
      <c r="E4">
        <f>C4+B4</f>
        <v>448</v>
      </c>
      <c r="J4" s="4">
        <v>2015</v>
      </c>
      <c r="K4" s="4">
        <v>230</v>
      </c>
      <c r="L4" s="4">
        <v>3.5</v>
      </c>
      <c r="M4" s="4">
        <v>0</v>
      </c>
      <c r="N4">
        <f>L4+K4</f>
        <v>233.5</v>
      </c>
    </row>
    <row r="5" spans="1:16" x14ac:dyDescent="0.35">
      <c r="A5" s="4">
        <v>2016</v>
      </c>
      <c r="B5" s="4">
        <v>650</v>
      </c>
      <c r="C5" s="4">
        <v>20</v>
      </c>
      <c r="D5">
        <f>((B5-B4)+C5)/B4*100</f>
        <v>55.813953488372093</v>
      </c>
      <c r="E5">
        <f t="shared" ref="E5:E13" si="0">C5+B5</f>
        <v>670</v>
      </c>
      <c r="J5" s="4">
        <v>2016</v>
      </c>
      <c r="K5" s="4">
        <v>250</v>
      </c>
      <c r="L5" s="4">
        <v>2.6</v>
      </c>
      <c r="M5">
        <f>(((K5-K4)+L5)/K4)*100</f>
        <v>9.8260869565217401</v>
      </c>
      <c r="N5">
        <f t="shared" ref="N5:N13" si="1">L5+K5</f>
        <v>252.6</v>
      </c>
    </row>
    <row r="6" spans="1:16" x14ac:dyDescent="0.35">
      <c r="A6" s="4">
        <v>2017</v>
      </c>
      <c r="B6" s="4">
        <v>510</v>
      </c>
      <c r="C6" s="4">
        <v>19</v>
      </c>
      <c r="D6">
        <f t="shared" ref="D6:D13" si="2">((B6-B5)+C6)/B5*100</f>
        <v>-18.615384615384613</v>
      </c>
      <c r="E6">
        <f t="shared" si="0"/>
        <v>529</v>
      </c>
      <c r="J6" s="4">
        <v>2017</v>
      </c>
      <c r="K6" s="4">
        <v>310</v>
      </c>
      <c r="L6" s="4">
        <v>2.6</v>
      </c>
      <c r="M6">
        <f t="shared" ref="M6:M13" si="3">(((K6-K5)+L6)/K5)*100</f>
        <v>25.040000000000003</v>
      </c>
      <c r="N6">
        <f t="shared" si="1"/>
        <v>312.60000000000002</v>
      </c>
    </row>
    <row r="7" spans="1:16" x14ac:dyDescent="0.35">
      <c r="A7" s="4">
        <v>2018</v>
      </c>
      <c r="B7" s="4">
        <v>350</v>
      </c>
      <c r="C7" s="4">
        <v>14</v>
      </c>
      <c r="D7">
        <f t="shared" si="2"/>
        <v>-28.627450980392155</v>
      </c>
      <c r="E7">
        <f t="shared" si="0"/>
        <v>364</v>
      </c>
      <c r="J7" s="4">
        <v>2018</v>
      </c>
      <c r="K7" s="4">
        <v>295</v>
      </c>
      <c r="L7" s="4">
        <v>0</v>
      </c>
      <c r="M7">
        <f t="shared" si="3"/>
        <v>-4.838709677419355</v>
      </c>
      <c r="N7">
        <f t="shared" si="1"/>
        <v>295</v>
      </c>
    </row>
    <row r="8" spans="1:16" x14ac:dyDescent="0.35">
      <c r="A8" s="4">
        <v>2019</v>
      </c>
      <c r="B8" s="4">
        <v>490</v>
      </c>
      <c r="C8" s="4">
        <v>17</v>
      </c>
      <c r="D8">
        <f t="shared" si="2"/>
        <v>44.857142857142854</v>
      </c>
      <c r="E8">
        <f t="shared" si="0"/>
        <v>507</v>
      </c>
      <c r="J8" s="4">
        <v>2019</v>
      </c>
      <c r="K8" s="4">
        <v>330</v>
      </c>
      <c r="L8" s="4">
        <v>0</v>
      </c>
      <c r="M8">
        <f t="shared" si="3"/>
        <v>11.864406779661017</v>
      </c>
      <c r="N8">
        <f t="shared" si="1"/>
        <v>330</v>
      </c>
    </row>
    <row r="9" spans="1:16" x14ac:dyDescent="0.35">
      <c r="A9" s="4">
        <v>2020</v>
      </c>
      <c r="B9" s="4">
        <v>380</v>
      </c>
      <c r="C9" s="4">
        <v>16</v>
      </c>
      <c r="D9">
        <f t="shared" si="2"/>
        <v>-19.183673469387756</v>
      </c>
      <c r="E9">
        <f t="shared" si="0"/>
        <v>396</v>
      </c>
      <c r="J9" s="4">
        <v>2020</v>
      </c>
      <c r="K9" s="4">
        <v>270</v>
      </c>
      <c r="L9" s="4">
        <v>0</v>
      </c>
      <c r="M9">
        <f t="shared" si="3"/>
        <v>-18.181818181818183</v>
      </c>
      <c r="N9">
        <f t="shared" si="1"/>
        <v>270</v>
      </c>
    </row>
    <row r="10" spans="1:16" x14ac:dyDescent="0.35">
      <c r="A10" s="4">
        <v>2021</v>
      </c>
      <c r="B10" s="4">
        <v>390</v>
      </c>
      <c r="C10" s="4">
        <v>14</v>
      </c>
      <c r="D10">
        <f t="shared" si="2"/>
        <v>6.3157894736842106</v>
      </c>
      <c r="E10">
        <f t="shared" si="0"/>
        <v>404</v>
      </c>
      <c r="J10" s="4">
        <v>2021</v>
      </c>
      <c r="K10" s="4">
        <v>460</v>
      </c>
      <c r="L10" s="4">
        <v>4</v>
      </c>
      <c r="M10">
        <f t="shared" si="3"/>
        <v>71.851851851851862</v>
      </c>
      <c r="N10">
        <f t="shared" si="1"/>
        <v>464</v>
      </c>
    </row>
    <row r="11" spans="1:16" x14ac:dyDescent="0.35">
      <c r="A11" s="4">
        <v>2022</v>
      </c>
      <c r="B11" s="4">
        <v>330</v>
      </c>
      <c r="C11" s="4">
        <v>5.5</v>
      </c>
      <c r="D11">
        <f t="shared" si="2"/>
        <v>-13.974358974358974</v>
      </c>
      <c r="E11">
        <f t="shared" si="0"/>
        <v>335.5</v>
      </c>
      <c r="J11" s="4">
        <v>2022</v>
      </c>
      <c r="K11" s="4">
        <v>610</v>
      </c>
      <c r="L11" s="4">
        <v>7.1</v>
      </c>
      <c r="M11">
        <f t="shared" si="3"/>
        <v>34.152173913043477</v>
      </c>
      <c r="N11">
        <f t="shared" si="1"/>
        <v>617.1</v>
      </c>
    </row>
    <row r="12" spans="1:16" x14ac:dyDescent="0.35">
      <c r="A12" s="4">
        <v>2023</v>
      </c>
      <c r="B12" s="4">
        <v>360</v>
      </c>
      <c r="C12" s="4">
        <v>25</v>
      </c>
      <c r="D12">
        <f t="shared" si="2"/>
        <v>16.666666666666664</v>
      </c>
      <c r="E12">
        <f t="shared" si="0"/>
        <v>385</v>
      </c>
      <c r="G12" t="s">
        <v>10</v>
      </c>
      <c r="J12" s="4">
        <v>2023</v>
      </c>
      <c r="K12" s="4">
        <v>780</v>
      </c>
      <c r="L12" s="4">
        <v>11.3</v>
      </c>
      <c r="M12">
        <f t="shared" si="3"/>
        <v>29.721311475409841</v>
      </c>
      <c r="N12">
        <f t="shared" si="1"/>
        <v>791.3</v>
      </c>
      <c r="P12" t="s">
        <v>11</v>
      </c>
    </row>
    <row r="13" spans="1:16" x14ac:dyDescent="0.35">
      <c r="A13" s="4">
        <v>2024</v>
      </c>
      <c r="B13" s="4">
        <v>384</v>
      </c>
      <c r="C13" s="4">
        <v>10</v>
      </c>
      <c r="D13">
        <f t="shared" si="2"/>
        <v>9.4444444444444446</v>
      </c>
      <c r="E13">
        <f t="shared" si="0"/>
        <v>394</v>
      </c>
      <c r="F13">
        <f>((E13/E4)^0.1)-1</f>
        <v>-1.2762097190132105E-2</v>
      </c>
      <c r="G13">
        <f>((D13/D5)^(1/9))-1</f>
        <v>-0.17913752383466619</v>
      </c>
      <c r="J13" s="4">
        <v>2024</v>
      </c>
      <c r="K13" s="4">
        <v>982</v>
      </c>
      <c r="L13" s="4">
        <v>13.7</v>
      </c>
      <c r="M13">
        <f t="shared" si="3"/>
        <v>27.65384615384615</v>
      </c>
      <c r="N13">
        <f t="shared" si="1"/>
        <v>995.7</v>
      </c>
      <c r="O13">
        <f>-(((N4/N13)^1/10)-1)</f>
        <v>0.97654916139399417</v>
      </c>
      <c r="P13">
        <f>((M13/M5)^(1/9))-1</f>
        <v>0.121839038512495</v>
      </c>
    </row>
    <row r="16" spans="1:16" x14ac:dyDescent="0.35">
      <c r="D16" s="4"/>
      <c r="E16" s="4"/>
      <c r="L16" s="4"/>
      <c r="M16" s="4"/>
      <c r="N16" s="4"/>
    </row>
    <row r="17" spans="1:15" x14ac:dyDescent="0.35">
      <c r="D17" s="4"/>
      <c r="E17" s="4"/>
      <c r="F17" s="7" t="s">
        <v>12</v>
      </c>
      <c r="G17" s="7"/>
      <c r="H17" s="7"/>
      <c r="I17" s="7"/>
      <c r="J17" s="7"/>
      <c r="K17" s="7"/>
      <c r="L17" s="7"/>
      <c r="M17" s="4"/>
      <c r="N17" s="4"/>
    </row>
    <row r="18" spans="1:15" x14ac:dyDescent="0.35">
      <c r="A18" s="2"/>
      <c r="B18" s="2"/>
      <c r="C18" s="2" t="s">
        <v>7</v>
      </c>
      <c r="D18" s="2"/>
      <c r="E18" s="2"/>
      <c r="F18" s="2"/>
      <c r="J18" s="2"/>
      <c r="K18" s="2"/>
      <c r="L18" s="2" t="s">
        <v>8</v>
      </c>
      <c r="M18" s="2"/>
      <c r="N18" s="2"/>
      <c r="O18" s="2"/>
    </row>
    <row r="19" spans="1:15" ht="29" x14ac:dyDescent="0.35">
      <c r="A19" s="2" t="s">
        <v>13</v>
      </c>
      <c r="B19" s="2" t="s">
        <v>0</v>
      </c>
      <c r="C19" s="3" t="s">
        <v>1</v>
      </c>
      <c r="D19" s="2" t="s">
        <v>2</v>
      </c>
      <c r="E19" s="3" t="s">
        <v>5</v>
      </c>
      <c r="F19" s="2" t="s">
        <v>4</v>
      </c>
      <c r="G19" s="3" t="s">
        <v>14</v>
      </c>
      <c r="J19" s="2" t="s">
        <v>13</v>
      </c>
      <c r="K19" s="2" t="s">
        <v>0</v>
      </c>
      <c r="L19" s="3" t="s">
        <v>1</v>
      </c>
      <c r="M19" s="2" t="s">
        <v>2</v>
      </c>
      <c r="N19" s="3" t="s">
        <v>5</v>
      </c>
      <c r="O19" s="2" t="s">
        <v>4</v>
      </c>
    </row>
    <row r="20" spans="1:15" x14ac:dyDescent="0.35">
      <c r="A20" s="6">
        <v>45669</v>
      </c>
      <c r="B20">
        <v>384</v>
      </c>
      <c r="C20">
        <v>0</v>
      </c>
      <c r="D20" s="4">
        <v>0</v>
      </c>
      <c r="E20" s="4">
        <f>B20+C20</f>
        <v>384</v>
      </c>
      <c r="F20" s="4"/>
      <c r="J20" s="6">
        <v>45669</v>
      </c>
      <c r="K20">
        <v>982.2</v>
      </c>
      <c r="L20" s="4">
        <v>0</v>
      </c>
      <c r="M20" s="4">
        <v>0</v>
      </c>
      <c r="N20" s="4">
        <f>K20+L20</f>
        <v>982.2</v>
      </c>
    </row>
    <row r="21" spans="1:15" x14ac:dyDescent="0.35">
      <c r="A21" s="6">
        <v>45668</v>
      </c>
      <c r="B21">
        <v>359.1</v>
      </c>
      <c r="C21">
        <v>7.5</v>
      </c>
      <c r="D21" s="4">
        <f>((B21-B20)+C21)/B20 *100</f>
        <v>-4.5312499999999947</v>
      </c>
      <c r="E21" s="4">
        <f t="shared" ref="E21:E54" si="4">B21+C21</f>
        <v>366.6</v>
      </c>
      <c r="F21" s="4"/>
      <c r="J21" s="6">
        <v>45668</v>
      </c>
      <c r="K21">
        <v>979</v>
      </c>
      <c r="L21" s="4">
        <v>0</v>
      </c>
      <c r="M21" s="5">
        <f>(((K21-K20)+L21)/K20)*100</f>
        <v>-0.32579922622684232</v>
      </c>
      <c r="N21" s="4">
        <f t="shared" ref="N21:N54" si="5">K21+L21</f>
        <v>979</v>
      </c>
    </row>
    <row r="22" spans="1:15" x14ac:dyDescent="0.35">
      <c r="A22" s="6">
        <v>45667</v>
      </c>
      <c r="B22">
        <v>356.8</v>
      </c>
      <c r="C22">
        <v>0</v>
      </c>
      <c r="D22" s="4">
        <f t="shared" ref="D22:D54" si="6">((B22-B21)+C22)/B21 *100</f>
        <v>-0.64049011417432777</v>
      </c>
      <c r="E22" s="4">
        <f t="shared" si="4"/>
        <v>356.8</v>
      </c>
      <c r="F22" s="4"/>
      <c r="J22" s="6">
        <v>45667</v>
      </c>
      <c r="K22">
        <v>937</v>
      </c>
      <c r="L22" s="4">
        <v>0</v>
      </c>
      <c r="M22" s="5">
        <f>(((K22-K21)+L22)/K21)*100</f>
        <v>-4.2900919305413687</v>
      </c>
      <c r="N22" s="4">
        <f t="shared" si="5"/>
        <v>937</v>
      </c>
    </row>
    <row r="23" spans="1:15" x14ac:dyDescent="0.35">
      <c r="A23" s="6">
        <v>45666</v>
      </c>
      <c r="B23">
        <v>339.65</v>
      </c>
      <c r="C23">
        <v>0</v>
      </c>
      <c r="D23" s="4">
        <f t="shared" si="6"/>
        <v>-4.8066143497757947</v>
      </c>
      <c r="E23" s="4">
        <f t="shared" si="4"/>
        <v>339.65</v>
      </c>
      <c r="J23" s="6">
        <v>45666</v>
      </c>
      <c r="K23">
        <v>872.45</v>
      </c>
      <c r="L23" s="4">
        <v>0</v>
      </c>
      <c r="M23" s="5">
        <f t="shared" ref="M23:M54" si="7">(((K23-K22)+L23)/K22)*100</f>
        <v>-6.8890074706510092</v>
      </c>
      <c r="N23" s="4">
        <f t="shared" si="5"/>
        <v>872.45</v>
      </c>
    </row>
    <row r="24" spans="1:15" x14ac:dyDescent="0.35">
      <c r="A24" s="6">
        <v>45665</v>
      </c>
      <c r="B24">
        <v>308.2</v>
      </c>
      <c r="C24">
        <v>0</v>
      </c>
      <c r="D24" s="4">
        <f t="shared" si="6"/>
        <v>-9.2595318710437198</v>
      </c>
      <c r="E24" s="4">
        <f t="shared" si="4"/>
        <v>308.2</v>
      </c>
      <c r="J24" s="6">
        <v>45665</v>
      </c>
      <c r="K24">
        <v>802.5</v>
      </c>
      <c r="L24" s="4">
        <v>0</v>
      </c>
      <c r="M24" s="5">
        <f t="shared" si="7"/>
        <v>-8.0176514413433484</v>
      </c>
      <c r="N24" s="4">
        <f t="shared" si="5"/>
        <v>802.5</v>
      </c>
    </row>
    <row r="25" spans="1:15" x14ac:dyDescent="0.35">
      <c r="A25" s="6">
        <v>45664</v>
      </c>
      <c r="B25">
        <v>329.3</v>
      </c>
      <c r="C25">
        <v>5</v>
      </c>
      <c r="D25" s="4">
        <f t="shared" si="6"/>
        <v>8.4685269305645772</v>
      </c>
      <c r="E25" s="4">
        <f t="shared" si="4"/>
        <v>334.3</v>
      </c>
      <c r="J25" s="6">
        <v>45664</v>
      </c>
      <c r="K25">
        <v>796.55</v>
      </c>
      <c r="L25">
        <v>0</v>
      </c>
      <c r="M25" s="5">
        <f t="shared" si="7"/>
        <v>-0.74143302180685933</v>
      </c>
      <c r="N25" s="4">
        <f t="shared" si="5"/>
        <v>796.55</v>
      </c>
    </row>
    <row r="26" spans="1:15" x14ac:dyDescent="0.35">
      <c r="A26" s="6">
        <v>45663</v>
      </c>
      <c r="B26">
        <v>331.95</v>
      </c>
      <c r="C26">
        <v>0</v>
      </c>
      <c r="D26" s="4">
        <f t="shared" si="6"/>
        <v>0.80473732159124722</v>
      </c>
      <c r="E26" s="4">
        <f t="shared" si="4"/>
        <v>331.95</v>
      </c>
      <c r="J26" s="6">
        <v>45663</v>
      </c>
      <c r="K26">
        <v>820.35</v>
      </c>
      <c r="L26">
        <v>0</v>
      </c>
      <c r="M26" s="5">
        <f t="shared" si="7"/>
        <v>2.9878852551628987</v>
      </c>
      <c r="N26" s="4">
        <f t="shared" si="5"/>
        <v>820.35</v>
      </c>
    </row>
    <row r="27" spans="1:15" x14ac:dyDescent="0.35">
      <c r="A27" s="6">
        <v>45662</v>
      </c>
      <c r="B27">
        <v>318.39999999999998</v>
      </c>
      <c r="C27">
        <v>0</v>
      </c>
      <c r="D27" s="4">
        <f t="shared" si="6"/>
        <v>-4.0819400512125359</v>
      </c>
      <c r="E27" s="4">
        <f t="shared" si="4"/>
        <v>318.39999999999998</v>
      </c>
      <c r="J27" s="6">
        <v>45662</v>
      </c>
      <c r="K27">
        <v>812.3</v>
      </c>
      <c r="L27">
        <v>15.9</v>
      </c>
      <c r="M27" s="5">
        <f t="shared" si="7"/>
        <v>0.95690863655755865</v>
      </c>
      <c r="N27" s="4">
        <f t="shared" si="5"/>
        <v>828.19999999999993</v>
      </c>
    </row>
    <row r="28" spans="1:15" x14ac:dyDescent="0.35">
      <c r="A28" s="6">
        <v>45661</v>
      </c>
      <c r="B28">
        <v>310.05</v>
      </c>
      <c r="C28">
        <v>0</v>
      </c>
      <c r="D28" s="4">
        <f t="shared" si="6"/>
        <v>-2.622487437185919</v>
      </c>
      <c r="E28" s="4">
        <f t="shared" si="4"/>
        <v>310.05</v>
      </c>
      <c r="J28" s="6">
        <v>45661</v>
      </c>
      <c r="K28">
        <v>788.65</v>
      </c>
      <c r="L28">
        <v>0</v>
      </c>
      <c r="M28" s="5">
        <f t="shared" si="7"/>
        <v>-2.9114859042225754</v>
      </c>
      <c r="N28" s="4">
        <f t="shared" si="5"/>
        <v>788.65</v>
      </c>
    </row>
    <row r="29" spans="1:15" x14ac:dyDescent="0.35">
      <c r="A29" s="6">
        <v>45660</v>
      </c>
      <c r="B29">
        <v>278.47000000000003</v>
      </c>
      <c r="C29">
        <v>0</v>
      </c>
      <c r="D29" s="4">
        <f t="shared" si="6"/>
        <v>-10.18545395903886</v>
      </c>
      <c r="E29" s="4">
        <f t="shared" si="4"/>
        <v>278.47000000000003</v>
      </c>
      <c r="J29" s="6">
        <v>45660</v>
      </c>
      <c r="K29">
        <v>771.5</v>
      </c>
      <c r="L29">
        <v>0</v>
      </c>
      <c r="M29" s="5">
        <f t="shared" si="7"/>
        <v>-2.1746021682622176</v>
      </c>
      <c r="N29" s="4">
        <f t="shared" si="5"/>
        <v>771.5</v>
      </c>
    </row>
    <row r="30" spans="1:15" x14ac:dyDescent="0.35">
      <c r="A30" s="6">
        <v>45659</v>
      </c>
      <c r="B30">
        <v>237.3</v>
      </c>
      <c r="C30">
        <v>0</v>
      </c>
      <c r="D30" s="4">
        <f t="shared" si="6"/>
        <v>-14.784357381405542</v>
      </c>
      <c r="E30" s="4">
        <f t="shared" si="4"/>
        <v>237.3</v>
      </c>
      <c r="J30" s="6">
        <v>45659</v>
      </c>
      <c r="K30">
        <v>688.8</v>
      </c>
      <c r="L30">
        <v>0</v>
      </c>
      <c r="M30" s="5">
        <f t="shared" si="7"/>
        <v>-10.719377835385618</v>
      </c>
      <c r="N30" s="4">
        <f t="shared" si="5"/>
        <v>688.8</v>
      </c>
    </row>
    <row r="31" spans="1:15" x14ac:dyDescent="0.35">
      <c r="A31" s="6">
        <v>45658</v>
      </c>
      <c r="B31">
        <v>261.10000000000002</v>
      </c>
      <c r="C31">
        <v>5</v>
      </c>
      <c r="D31" s="4">
        <f t="shared" si="6"/>
        <v>12.136536030341343</v>
      </c>
      <c r="E31" s="4">
        <f t="shared" si="4"/>
        <v>266.10000000000002</v>
      </c>
      <c r="J31" s="6">
        <v>45658</v>
      </c>
      <c r="K31">
        <v>772.9</v>
      </c>
      <c r="L31">
        <v>0</v>
      </c>
      <c r="M31" s="5">
        <f t="shared" si="7"/>
        <v>12.209639953542396</v>
      </c>
      <c r="N31" s="4">
        <f t="shared" si="5"/>
        <v>772.9</v>
      </c>
    </row>
    <row r="32" spans="1:15" x14ac:dyDescent="0.35">
      <c r="A32" s="6">
        <v>45303</v>
      </c>
      <c r="B32">
        <v>292.45</v>
      </c>
      <c r="C32">
        <v>0</v>
      </c>
      <c r="D32" s="4">
        <f t="shared" si="6"/>
        <v>12.00689391037915</v>
      </c>
      <c r="E32" s="4">
        <f t="shared" si="4"/>
        <v>292.45</v>
      </c>
      <c r="J32" s="6">
        <v>45303</v>
      </c>
      <c r="K32">
        <v>794.95</v>
      </c>
      <c r="L32">
        <v>0</v>
      </c>
      <c r="M32" s="5">
        <f t="shared" si="7"/>
        <v>2.8528917065597192</v>
      </c>
      <c r="N32" s="4">
        <f t="shared" si="5"/>
        <v>794.95</v>
      </c>
    </row>
    <row r="33" spans="1:14" x14ac:dyDescent="0.35">
      <c r="A33" s="6">
        <v>45302</v>
      </c>
      <c r="B33">
        <v>292.10000000000002</v>
      </c>
      <c r="C33">
        <v>0</v>
      </c>
      <c r="D33" s="4">
        <f t="shared" si="6"/>
        <v>-0.11967857753460964</v>
      </c>
      <c r="E33" s="4">
        <f t="shared" si="4"/>
        <v>292.10000000000002</v>
      </c>
      <c r="J33" s="6">
        <v>45302</v>
      </c>
      <c r="K33">
        <v>838.95</v>
      </c>
      <c r="L33">
        <v>0</v>
      </c>
      <c r="M33" s="5">
        <f t="shared" si="7"/>
        <v>5.5349393043587645</v>
      </c>
      <c r="N33" s="4">
        <f t="shared" si="5"/>
        <v>838.95</v>
      </c>
    </row>
    <row r="34" spans="1:14" x14ac:dyDescent="0.35">
      <c r="A34" s="6">
        <v>45301</v>
      </c>
      <c r="B34">
        <v>310.75</v>
      </c>
      <c r="C34">
        <v>0</v>
      </c>
      <c r="D34" s="4">
        <f t="shared" si="6"/>
        <v>6.3847997261211837</v>
      </c>
      <c r="E34" s="4">
        <f t="shared" si="4"/>
        <v>310.75</v>
      </c>
      <c r="J34" s="6">
        <v>45301</v>
      </c>
      <c r="K34">
        <v>820.2</v>
      </c>
      <c r="L34">
        <v>0</v>
      </c>
      <c r="M34" s="5">
        <f t="shared" si="7"/>
        <v>-2.2349365278026103</v>
      </c>
      <c r="N34" s="4">
        <f t="shared" si="5"/>
        <v>820.2</v>
      </c>
    </row>
    <row r="35" spans="1:14" x14ac:dyDescent="0.35">
      <c r="A35" s="6">
        <v>45300</v>
      </c>
      <c r="B35">
        <v>369.95</v>
      </c>
      <c r="C35">
        <v>0</v>
      </c>
      <c r="D35" s="4">
        <f t="shared" si="6"/>
        <v>19.050683829444885</v>
      </c>
      <c r="E35" s="4">
        <f t="shared" si="4"/>
        <v>369.95</v>
      </c>
      <c r="J35" s="6">
        <v>45300</v>
      </c>
      <c r="K35">
        <v>787.9</v>
      </c>
      <c r="L35">
        <v>0</v>
      </c>
      <c r="M35" s="5">
        <f t="shared" si="7"/>
        <v>-3.938063886856872</v>
      </c>
      <c r="N35" s="4">
        <f t="shared" si="5"/>
        <v>787.9</v>
      </c>
    </row>
    <row r="36" spans="1:14" x14ac:dyDescent="0.35">
      <c r="A36" s="6">
        <v>45299</v>
      </c>
      <c r="B36">
        <v>357.65</v>
      </c>
      <c r="C36">
        <v>10.5</v>
      </c>
      <c r="D36" s="4">
        <f t="shared" si="6"/>
        <v>-0.48655223678875831</v>
      </c>
      <c r="E36" s="4">
        <f t="shared" si="4"/>
        <v>368.15</v>
      </c>
      <c r="J36" s="6">
        <v>45299</v>
      </c>
      <c r="K36">
        <v>815.6</v>
      </c>
      <c r="L36">
        <v>0</v>
      </c>
      <c r="M36" s="5">
        <f t="shared" si="7"/>
        <v>3.5156745779921366</v>
      </c>
      <c r="N36" s="4">
        <f t="shared" si="5"/>
        <v>815.6</v>
      </c>
    </row>
    <row r="37" spans="1:14" x14ac:dyDescent="0.35">
      <c r="A37" s="6">
        <v>45298</v>
      </c>
      <c r="B37">
        <v>350.05</v>
      </c>
      <c r="C37">
        <v>0</v>
      </c>
      <c r="D37" s="4">
        <f t="shared" si="6"/>
        <v>-2.1249825248147536</v>
      </c>
      <c r="E37" s="4">
        <f t="shared" si="4"/>
        <v>350.05</v>
      </c>
      <c r="J37" s="6">
        <v>45298</v>
      </c>
      <c r="K37">
        <v>872.4</v>
      </c>
      <c r="L37">
        <v>0</v>
      </c>
      <c r="M37" s="5">
        <f t="shared" si="7"/>
        <v>6.9641981363413379</v>
      </c>
      <c r="N37" s="4">
        <f t="shared" si="5"/>
        <v>872.4</v>
      </c>
    </row>
    <row r="38" spans="1:14" x14ac:dyDescent="0.35">
      <c r="A38" s="6">
        <v>45297</v>
      </c>
      <c r="B38">
        <v>303.95</v>
      </c>
      <c r="C38">
        <v>0</v>
      </c>
      <c r="D38" s="4">
        <f t="shared" si="6"/>
        <v>-13.169547207541784</v>
      </c>
      <c r="E38" s="4">
        <f t="shared" si="4"/>
        <v>303.95</v>
      </c>
      <c r="J38" s="6">
        <v>45297</v>
      </c>
      <c r="K38">
        <v>848.95</v>
      </c>
      <c r="L38">
        <v>0</v>
      </c>
      <c r="M38" s="5">
        <f t="shared" si="7"/>
        <v>-2.6879871618523534</v>
      </c>
      <c r="N38" s="4">
        <f t="shared" si="5"/>
        <v>848.95</v>
      </c>
    </row>
    <row r="39" spans="1:14" x14ac:dyDescent="0.35">
      <c r="A39" s="6">
        <v>45296</v>
      </c>
      <c r="B39">
        <v>313.89999999999998</v>
      </c>
      <c r="C39">
        <v>0</v>
      </c>
      <c r="D39" s="4">
        <f t="shared" si="6"/>
        <v>3.2735647310412861</v>
      </c>
      <c r="E39" s="4">
        <f t="shared" si="4"/>
        <v>313.89999999999998</v>
      </c>
      <c r="J39" s="6">
        <v>45296</v>
      </c>
      <c r="K39">
        <v>830.35</v>
      </c>
      <c r="L39">
        <v>13.7</v>
      </c>
      <c r="M39" s="5">
        <f t="shared" si="7"/>
        <v>-0.57718357971612266</v>
      </c>
      <c r="N39" s="4">
        <f t="shared" si="5"/>
        <v>844.05000000000007</v>
      </c>
    </row>
    <row r="40" spans="1:14" x14ac:dyDescent="0.35">
      <c r="A40" s="6">
        <v>45295</v>
      </c>
      <c r="B40">
        <v>303.67</v>
      </c>
      <c r="C40">
        <v>0</v>
      </c>
      <c r="D40" s="4">
        <f t="shared" si="6"/>
        <v>-3.258999681427194</v>
      </c>
      <c r="E40" s="4">
        <f t="shared" si="4"/>
        <v>303.67</v>
      </c>
      <c r="J40" s="6">
        <v>45295</v>
      </c>
      <c r="K40">
        <v>826.25</v>
      </c>
      <c r="L40">
        <v>0</v>
      </c>
      <c r="M40" s="5">
        <f t="shared" si="7"/>
        <v>-0.49376768832420337</v>
      </c>
      <c r="N40" s="4">
        <f t="shared" si="5"/>
        <v>826.25</v>
      </c>
    </row>
    <row r="41" spans="1:14" x14ac:dyDescent="0.35">
      <c r="A41" s="6">
        <v>45294</v>
      </c>
      <c r="B41">
        <v>301.2</v>
      </c>
      <c r="C41">
        <v>0</v>
      </c>
      <c r="D41" s="4">
        <f t="shared" si="6"/>
        <v>-0.81338294859552385</v>
      </c>
      <c r="E41" s="4">
        <f t="shared" si="4"/>
        <v>301.2</v>
      </c>
      <c r="J41" s="6">
        <v>45294</v>
      </c>
      <c r="K41">
        <v>752.35</v>
      </c>
      <c r="L41">
        <v>0</v>
      </c>
      <c r="M41" s="5">
        <f t="shared" si="7"/>
        <v>-8.9440242057488621</v>
      </c>
      <c r="N41" s="4">
        <f t="shared" si="5"/>
        <v>752.35</v>
      </c>
    </row>
    <row r="42" spans="1:14" x14ac:dyDescent="0.35">
      <c r="A42" s="6">
        <v>45293</v>
      </c>
      <c r="B42">
        <v>301.92</v>
      </c>
      <c r="C42">
        <v>0</v>
      </c>
      <c r="D42" s="4">
        <f t="shared" si="6"/>
        <v>0.23904382470120428</v>
      </c>
      <c r="E42" s="4">
        <f t="shared" si="4"/>
        <v>301.92</v>
      </c>
      <c r="J42" s="6">
        <v>45293</v>
      </c>
      <c r="K42">
        <v>748.1</v>
      </c>
      <c r="L42">
        <v>0</v>
      </c>
      <c r="M42" s="5">
        <f t="shared" si="7"/>
        <v>-0.56489665714095827</v>
      </c>
      <c r="N42" s="4">
        <f t="shared" si="5"/>
        <v>748.1</v>
      </c>
    </row>
    <row r="43" spans="1:14" x14ac:dyDescent="0.35">
      <c r="A43" s="6">
        <v>45292</v>
      </c>
      <c r="B43">
        <v>251.18</v>
      </c>
      <c r="C43">
        <v>0</v>
      </c>
      <c r="D43" s="4">
        <f t="shared" si="6"/>
        <v>-16.805776364599893</v>
      </c>
      <c r="E43" s="4">
        <f t="shared" si="4"/>
        <v>251.18</v>
      </c>
      <c r="J43" s="6">
        <v>45292</v>
      </c>
      <c r="K43">
        <v>640.5</v>
      </c>
      <c r="L43">
        <v>0</v>
      </c>
      <c r="M43" s="5">
        <f t="shared" si="7"/>
        <v>-14.383103863119906</v>
      </c>
      <c r="N43" s="4">
        <f t="shared" si="5"/>
        <v>640.5</v>
      </c>
    </row>
    <row r="44" spans="1:14" x14ac:dyDescent="0.35">
      <c r="A44" s="6">
        <v>44938</v>
      </c>
      <c r="B44">
        <v>225.32</v>
      </c>
      <c r="C44">
        <v>21</v>
      </c>
      <c r="D44" s="4">
        <f t="shared" si="6"/>
        <v>-1.9348674257504632</v>
      </c>
      <c r="E44" s="4">
        <f t="shared" si="4"/>
        <v>246.32</v>
      </c>
      <c r="J44" s="6">
        <v>44938</v>
      </c>
      <c r="K44">
        <v>642.04999999999995</v>
      </c>
      <c r="L44">
        <v>0</v>
      </c>
      <c r="M44" s="5">
        <f t="shared" si="7"/>
        <v>0.24199843871974308</v>
      </c>
      <c r="N44" s="4">
        <f t="shared" si="5"/>
        <v>642.04999999999995</v>
      </c>
    </row>
    <row r="45" spans="1:14" x14ac:dyDescent="0.35">
      <c r="A45" s="6">
        <v>44937</v>
      </c>
      <c r="B45">
        <v>217.85</v>
      </c>
      <c r="C45">
        <v>0</v>
      </c>
      <c r="D45" s="4">
        <f t="shared" si="6"/>
        <v>-3.3152849281022543</v>
      </c>
      <c r="E45" s="4">
        <f t="shared" si="4"/>
        <v>217.85</v>
      </c>
      <c r="J45" s="6">
        <v>44937</v>
      </c>
      <c r="K45">
        <v>564.75</v>
      </c>
      <c r="L45">
        <v>0</v>
      </c>
      <c r="M45" s="5">
        <f t="shared" si="7"/>
        <v>-12.039560781870565</v>
      </c>
      <c r="N45" s="4">
        <f t="shared" si="5"/>
        <v>564.75</v>
      </c>
    </row>
    <row r="46" spans="1:14" x14ac:dyDescent="0.35">
      <c r="A46" s="6">
        <v>44936</v>
      </c>
      <c r="B46">
        <v>174.63</v>
      </c>
      <c r="C46">
        <v>0</v>
      </c>
      <c r="D46" s="4">
        <f t="shared" si="6"/>
        <v>-19.839338994721139</v>
      </c>
      <c r="E46" s="4">
        <f t="shared" si="4"/>
        <v>174.63</v>
      </c>
      <c r="J46" s="6">
        <v>44936</v>
      </c>
      <c r="K46">
        <v>565.54999999999995</v>
      </c>
      <c r="L46">
        <v>0</v>
      </c>
      <c r="M46" s="5">
        <f t="shared" si="7"/>
        <v>0.14165559982292245</v>
      </c>
      <c r="N46" s="4">
        <f t="shared" si="5"/>
        <v>565.54999999999995</v>
      </c>
    </row>
    <row r="47" spans="1:14" x14ac:dyDescent="0.35">
      <c r="A47" s="6">
        <v>44935</v>
      </c>
      <c r="B47">
        <v>173.3</v>
      </c>
      <c r="C47">
        <v>0</v>
      </c>
      <c r="D47" s="4">
        <f t="shared" si="6"/>
        <v>-0.76161026169614854</v>
      </c>
      <c r="E47" s="4">
        <f t="shared" si="4"/>
        <v>173.3</v>
      </c>
      <c r="J47" s="6">
        <v>44935</v>
      </c>
      <c r="K47">
        <v>598.54999999999995</v>
      </c>
      <c r="L47">
        <v>0</v>
      </c>
      <c r="M47" s="5">
        <f t="shared" si="7"/>
        <v>5.8350278489965524</v>
      </c>
      <c r="N47" s="4">
        <f t="shared" si="5"/>
        <v>598.54999999999995</v>
      </c>
    </row>
    <row r="48" spans="1:14" x14ac:dyDescent="0.35">
      <c r="A48" s="6">
        <v>44934</v>
      </c>
      <c r="B48">
        <v>170.27</v>
      </c>
      <c r="C48">
        <v>0</v>
      </c>
      <c r="D48" s="4">
        <f t="shared" si="6"/>
        <v>-1.7484131563762266</v>
      </c>
      <c r="E48" s="4">
        <f t="shared" si="4"/>
        <v>170.27</v>
      </c>
      <c r="J48" s="6">
        <v>44934</v>
      </c>
      <c r="K48">
        <v>561.35</v>
      </c>
      <c r="L48">
        <v>0</v>
      </c>
      <c r="M48" s="5">
        <f t="shared" si="7"/>
        <v>-6.2150196307743606</v>
      </c>
      <c r="N48" s="4">
        <f t="shared" si="5"/>
        <v>561.35</v>
      </c>
    </row>
    <row r="49" spans="1:15" x14ac:dyDescent="0.35">
      <c r="A49" s="6">
        <v>44933</v>
      </c>
      <c r="B49">
        <v>188.75</v>
      </c>
      <c r="C49">
        <v>0</v>
      </c>
      <c r="D49" s="4">
        <f t="shared" si="6"/>
        <v>10.853350560873899</v>
      </c>
      <c r="E49" s="4">
        <f t="shared" si="4"/>
        <v>188.75</v>
      </c>
      <c r="J49" s="6">
        <v>44933</v>
      </c>
      <c r="K49">
        <v>620.20000000000005</v>
      </c>
      <c r="L49">
        <v>0</v>
      </c>
      <c r="M49" s="5">
        <f t="shared" si="7"/>
        <v>10.483655473412314</v>
      </c>
      <c r="N49" s="4">
        <f t="shared" si="5"/>
        <v>620.20000000000005</v>
      </c>
    </row>
    <row r="50" spans="1:15" x14ac:dyDescent="0.35">
      <c r="A50" s="6">
        <v>44932</v>
      </c>
      <c r="B50">
        <v>182.35</v>
      </c>
      <c r="C50">
        <v>0</v>
      </c>
      <c r="D50" s="4">
        <f t="shared" si="6"/>
        <v>-3.3907284768211947</v>
      </c>
      <c r="E50" s="4">
        <f t="shared" si="4"/>
        <v>182.35</v>
      </c>
      <c r="J50" s="6">
        <v>44932</v>
      </c>
      <c r="K50">
        <v>572.85</v>
      </c>
      <c r="L50">
        <v>0</v>
      </c>
      <c r="M50" s="5">
        <f t="shared" si="7"/>
        <v>-7.6346339890357982</v>
      </c>
      <c r="N50" s="4">
        <f t="shared" si="5"/>
        <v>572.85</v>
      </c>
    </row>
    <row r="51" spans="1:15" x14ac:dyDescent="0.35">
      <c r="A51" s="6">
        <v>44931</v>
      </c>
      <c r="B51">
        <v>181.75</v>
      </c>
      <c r="C51">
        <v>0</v>
      </c>
      <c r="D51" s="4">
        <f t="shared" si="6"/>
        <v>-0.32903756512201499</v>
      </c>
      <c r="E51" s="4">
        <f t="shared" si="4"/>
        <v>181.75</v>
      </c>
      <c r="J51" s="6">
        <v>44931</v>
      </c>
      <c r="K51">
        <v>579.85</v>
      </c>
      <c r="L51">
        <v>11.3</v>
      </c>
      <c r="M51" s="5">
        <f t="shared" si="7"/>
        <v>3.1945535480492273</v>
      </c>
      <c r="N51" s="4">
        <f t="shared" si="5"/>
        <v>591.15</v>
      </c>
    </row>
    <row r="52" spans="1:15" x14ac:dyDescent="0.35">
      <c r="A52" s="6">
        <v>44930</v>
      </c>
      <c r="B52">
        <v>178.8</v>
      </c>
      <c r="C52">
        <v>0</v>
      </c>
      <c r="D52" s="4">
        <f t="shared" si="6"/>
        <v>-1.6231086657496496</v>
      </c>
      <c r="E52" s="4">
        <f t="shared" si="4"/>
        <v>178.8</v>
      </c>
      <c r="J52" s="6">
        <v>44930</v>
      </c>
      <c r="K52">
        <v>578.29999999999995</v>
      </c>
      <c r="L52">
        <v>0</v>
      </c>
      <c r="M52" s="5">
        <f t="shared" si="7"/>
        <v>-0.26731051133915118</v>
      </c>
      <c r="N52" s="4">
        <f t="shared" si="5"/>
        <v>578.29999999999995</v>
      </c>
    </row>
    <row r="53" spans="1:15" x14ac:dyDescent="0.35">
      <c r="A53" s="6">
        <v>44929</v>
      </c>
      <c r="B53">
        <v>172.15</v>
      </c>
      <c r="C53">
        <v>0</v>
      </c>
      <c r="D53" s="4">
        <f t="shared" si="6"/>
        <v>-3.7192393736017926</v>
      </c>
      <c r="E53" s="4">
        <f t="shared" si="4"/>
        <v>172.15</v>
      </c>
      <c r="J53" s="6">
        <v>44929</v>
      </c>
      <c r="K53">
        <v>523.75</v>
      </c>
      <c r="L53">
        <v>0</v>
      </c>
      <c r="M53" s="5">
        <f t="shared" si="7"/>
        <v>-9.4328203354660136</v>
      </c>
      <c r="N53" s="4">
        <f t="shared" si="5"/>
        <v>523.75</v>
      </c>
    </row>
    <row r="54" spans="1:15" x14ac:dyDescent="0.35">
      <c r="A54" s="6">
        <v>44928</v>
      </c>
      <c r="B54">
        <v>158.68</v>
      </c>
      <c r="C54">
        <v>0</v>
      </c>
      <c r="D54" s="4">
        <f t="shared" si="6"/>
        <v>-7.8245715945396448</v>
      </c>
      <c r="E54" s="4">
        <f t="shared" si="4"/>
        <v>158.68</v>
      </c>
      <c r="F54">
        <f>((E54/E20)^(1/34))-1</f>
        <v>-2.5657830873753062E-2</v>
      </c>
      <c r="J54" s="6">
        <v>44928</v>
      </c>
      <c r="K54">
        <v>522.79999999999995</v>
      </c>
      <c r="L54">
        <v>0</v>
      </c>
      <c r="M54" s="5">
        <f t="shared" si="7"/>
        <v>-0.18138424821003254</v>
      </c>
      <c r="N54" s="4">
        <f t="shared" si="5"/>
        <v>522.79999999999995</v>
      </c>
      <c r="O54">
        <f>((N54/N20)^(1/34))-1</f>
        <v>-1.8376004262310119E-2</v>
      </c>
    </row>
  </sheetData>
  <mergeCells count="1">
    <mergeCell ref="F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Kulshrestha</dc:creator>
  <cp:lastModifiedBy>kalpana baghel</cp:lastModifiedBy>
  <dcterms:created xsi:type="dcterms:W3CDTF">2015-06-05T18:17:20Z</dcterms:created>
  <dcterms:modified xsi:type="dcterms:W3CDTF">2026-01-19T07:24:06Z</dcterms:modified>
</cp:coreProperties>
</file>